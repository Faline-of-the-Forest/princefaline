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4 Players" sheetId="2" state="visible" r:id="rId2"/>
    <sheet name="3 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31F20"/>
      <sz val="16"/>
    </font>
    <font>
      <name val="Arial"/>
      <i val="1"/>
      <color rgb="00595959"/>
      <sz val="10"/>
    </font>
    <font>
      <name val="Arial"/>
      <b val="1"/>
      <color rgb="00231F20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color rgb="00231F20"/>
      <sz val="11"/>
    </font>
    <font>
      <name val="Arial"/>
      <color rgb="00231F20"/>
      <sz val="10"/>
    </font>
  </fonts>
  <fills count="5">
    <fill>
      <patternFill/>
    </fill>
    <fill>
      <patternFill patternType="gray125"/>
    </fill>
    <fill>
      <patternFill patternType="solid">
        <fgColor rgb="00231F20"/>
      </patternFill>
    </fill>
    <fill>
      <patternFill patternType="solid">
        <fgColor rgb="00FFF3B0"/>
      </patternFill>
    </fill>
    <fill>
      <patternFill patternType="solid">
        <fgColor rgb="00F4F1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J24"/>
  <sheetViews>
    <sheetView showGridLines="0" zoomScale="110" workbookViewId="0">
      <selection activeCell="A1" sqref="A1"/>
    </sheetView>
  </sheetViews>
  <sheetFormatPr baseColWidth="8" defaultRowHeight="15"/>
  <cols>
    <col width="3" customWidth="1" min="2" max="2"/>
    <col width="22" customWidth="1" min="3" max="3"/>
    <col width="22" customWidth="1" min="4" max="4"/>
    <col width="22" customWidth="1" min="5" max="5"/>
    <col width="42" customWidth="1" min="6" max="6"/>
    <col width="18" customWidth="1" min="7" max="7"/>
    <col width="11" customWidth="1" min="8" max="8"/>
    <col width="11" customWidth="1" min="9" max="9"/>
    <col width="26" customWidth="1" min="10" max="10"/>
  </cols>
  <sheetData>
    <row r="2">
      <c r="C2" s="1" t="inlineStr">
        <is>
          <t>Tokyo Brain Pop — Bond Assignments</t>
        </is>
      </c>
    </row>
    <row r="3">
      <c r="C3" s="2" t="inlineStr">
        <is>
          <t>Bonds are mutual. Label each PAIR of girls, not each girl.</t>
        </is>
      </c>
    </row>
    <row r="5">
      <c r="C5" s="3" t="inlineStr">
        <is>
          <t>HOW TO USE</t>
        </is>
      </c>
    </row>
    <row r="6" ht="30" customHeight="1">
      <c r="C6" s="4" t="inlineStr">
        <is>
          <t>Fill in only the shaded Bond column. Every row is one pair of girls, and whatever you write applies to both of them — there is no way to enter a one-sided bond.</t>
        </is>
      </c>
    </row>
    <row r="7" ht="30" customHeight="1">
      <c r="C7" s="4" t="inlineStr">
        <is>
          <t>Leave a pair blank if those two have no bond at all.</t>
        </is>
      </c>
    </row>
    <row r="8" ht="30" customHeight="1">
      <c r="C8" s="4" t="inlineStr">
        <is>
          <t>The summary table beside it counts each girl's Friends and Rivals as you type, and the Check column tells you when a girl is still missing one.</t>
        </is>
      </c>
    </row>
    <row r="10">
      <c r="C10" s="3" t="inlineStr">
        <is>
          <t>THE RULES</t>
        </is>
      </c>
    </row>
    <row r="11" ht="30" customHeight="1">
      <c r="C11" s="4" t="inlineStr">
        <is>
          <t>Every bond is mutual. If Hiromi is Kotori's Friend, Kotori is Hiromi's Friend.</t>
        </is>
      </c>
    </row>
    <row r="12" ht="30" customHeight="1">
      <c r="C12" s="4" t="inlineStr">
        <is>
          <t>Every girl needs at least one Friend and at least one Rival. Nothing else is fixed — how many of each, and who, is yours to decide.</t>
        </is>
      </c>
    </row>
    <row r="13" ht="30" customHeight="1">
      <c r="C13" s="4" t="inlineStr">
        <is>
          <t>A pair marked Friend &amp; Rival are both to each other. When one Calls a Challenge on the other she chooses which she is Calling as, Friend or Rival. Nothing else about the Challenge changes.</t>
        </is>
      </c>
    </row>
    <row r="15">
      <c r="C15" s="3" t="inlineStr">
        <is>
          <t>A NOTE ON THREE PLAYERS</t>
        </is>
      </c>
    </row>
    <row r="16" ht="30" customHeight="1">
      <c r="C16" s="4" t="inlineStr">
        <is>
          <t>With only three pairs to label, the tightest arrangement is one Friend pair, one Rival pair and one Friend &amp; Rival pair. That gives the profiles 1 Friend / 1 Rival, 2 Friends / 1 Rival, and 1 Friend / 2 Rivals — one girl of each. The example below is exactly that. Other arrangements are legal as long as everybody has one of each.</t>
        </is>
      </c>
    </row>
    <row r="18">
      <c r="C18" s="3" t="inlineStr">
        <is>
          <t>EXAMPLE — a complete three-girl set</t>
        </is>
      </c>
    </row>
    <row r="19" ht="22" customHeight="1">
      <c r="C19" s="5" t="inlineStr">
        <is>
          <t>Girl A</t>
        </is>
      </c>
      <c r="D19" s="5" t="inlineStr">
        <is>
          <t>Girl B</t>
        </is>
      </c>
      <c r="E19" s="5" t="inlineStr">
        <is>
          <t>Bond</t>
        </is>
      </c>
      <c r="G19" s="5" t="inlineStr">
        <is>
          <t>Student</t>
        </is>
      </c>
      <c r="H19" s="5" t="inlineStr">
        <is>
          <t>Friends</t>
        </is>
      </c>
      <c r="I19" s="5" t="inlineStr">
        <is>
          <t>Rivals</t>
        </is>
      </c>
      <c r="J19" s="5" t="inlineStr">
        <is>
          <t>Check</t>
        </is>
      </c>
    </row>
    <row r="20">
      <c r="C20" s="6" t="inlineStr">
        <is>
          <t>HIROMI</t>
        </is>
      </c>
      <c r="D20" s="6" t="inlineStr">
        <is>
          <t>KOTORI</t>
        </is>
      </c>
      <c r="E20" s="7" t="inlineStr">
        <is>
          <t>Friend</t>
        </is>
      </c>
      <c r="G20" s="6" t="inlineStr">
        <is>
          <t>HIROMI</t>
        </is>
      </c>
      <c r="H20" s="8">
        <f>SUMPRODUCT((($C$20:$C$22=$G20)+($D$20:$D$22=$G20))*(($E$20:$E$22="Friend")+($E$20:$E$22="Friend &amp; Rival")))</f>
        <v/>
      </c>
      <c r="I20" s="8">
        <f>SUMPRODUCT((($C$20:$C$22=$G20)+($D$20:$D$22=$G20))*(($E$20:$E$22="Rival")+($E$20:$E$22="Friend &amp; Rival")))</f>
        <v/>
      </c>
      <c r="J20" s="9">
        <f>IF(COUNTA($E$20:$E$22)=0,"— fill in —",IF($H20=0,"Needs a Friend",IF($I20=0,"Needs a Rival","OK")))</f>
        <v/>
      </c>
    </row>
    <row r="21">
      <c r="C21" s="6" t="inlineStr">
        <is>
          <t>HIROMI</t>
        </is>
      </c>
      <c r="D21" s="6" t="inlineStr">
        <is>
          <t>UME</t>
        </is>
      </c>
      <c r="E21" s="7" t="inlineStr">
        <is>
          <t>Rival</t>
        </is>
      </c>
      <c r="G21" s="6" t="inlineStr">
        <is>
          <t>KOTORI</t>
        </is>
      </c>
      <c r="H21" s="8">
        <f>SUMPRODUCT((($C$20:$C$22=$G21)+($D$20:$D$22=$G21))*(($E$20:$E$22="Friend")+($E$20:$E$22="Friend &amp; Rival")))</f>
        <v/>
      </c>
      <c r="I21" s="8">
        <f>SUMPRODUCT((($C$20:$C$22=$G21)+($D$20:$D$22=$G21))*(($E$20:$E$22="Rival")+($E$20:$E$22="Friend &amp; Rival")))</f>
        <v/>
      </c>
      <c r="J21" s="9">
        <f>IF(COUNTA($E$20:$E$22)=0,"— fill in —",IF($H21=0,"Needs a Friend",IF($I21=0,"Needs a Rival","OK")))</f>
        <v/>
      </c>
    </row>
    <row r="22">
      <c r="C22" s="6" t="inlineStr">
        <is>
          <t>KOTORI</t>
        </is>
      </c>
      <c r="D22" s="6" t="inlineStr">
        <is>
          <t>UME</t>
        </is>
      </c>
      <c r="E22" s="7" t="inlineStr">
        <is>
          <t>Friend &amp; Rival</t>
        </is>
      </c>
      <c r="G22" s="6" t="inlineStr">
        <is>
          <t>UME</t>
        </is>
      </c>
      <c r="H22" s="8">
        <f>SUMPRODUCT((($C$20:$C$22=$G22)+($D$20:$D$22=$G22))*(($E$20:$E$22="Friend")+($E$20:$E$22="Friend &amp; Rival")))</f>
        <v/>
      </c>
      <c r="I22" s="8">
        <f>SUMPRODUCT((($C$20:$C$22=$G22)+($D$20:$D$22=$G22))*(($E$20:$E$22="Rival")+($E$20:$E$22="Friend &amp; Rival")))</f>
        <v/>
      </c>
      <c r="J22" s="9">
        <f>IF(COUNTA($E$20:$E$22)=0,"— fill in —",IF($H22=0,"Needs a Friend",IF($I22=0,"Needs a Rival","OK")))</f>
        <v/>
      </c>
    </row>
    <row r="24" ht="26" customHeight="1">
      <c r="C24" s="4" t="inlineStr">
        <is>
          <t>Kotori and Ume are Friend &amp; Rival, so either may Call on the other as whichever suits the moment.</t>
        </is>
      </c>
    </row>
  </sheetData>
  <mergeCells count="8">
    <mergeCell ref="C13:F13"/>
    <mergeCell ref="C8:F8"/>
    <mergeCell ref="C12:F12"/>
    <mergeCell ref="C24:J24"/>
    <mergeCell ref="C6:F6"/>
    <mergeCell ref="C7:F7"/>
    <mergeCell ref="C16:F16"/>
    <mergeCell ref="C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20" customWidth="1" min="4" max="4"/>
    <col width="20" customWidth="1" min="5" max="5"/>
    <col width="3" customWidth="1" min="6" max="6"/>
    <col width="18" customWidth="1" min="7" max="7"/>
    <col width="11" customWidth="1" min="8" max="8"/>
    <col width="11" customWidth="1" min="9" max="9"/>
    <col width="30" customWidth="1" min="10" max="10"/>
  </cols>
  <sheetData>
    <row r="2">
      <c r="B2" s="1" t="inlineStr">
        <is>
          <t>4 Players — all six pairs</t>
        </is>
      </c>
    </row>
    <row r="3">
      <c r="B3" s="2" t="inlineStr">
        <is>
          <t>Label each pair. Everyone needs at least one Friend and at least one Rival.</t>
        </is>
      </c>
    </row>
    <row r="5" ht="22" customHeight="1">
      <c r="B5" s="5" t="inlineStr"/>
      <c r="C5" s="5" t="inlineStr">
        <is>
          <t>Girl A</t>
        </is>
      </c>
      <c r="D5" s="5" t="inlineStr">
        <is>
          <t>Girl B</t>
        </is>
      </c>
      <c r="E5" s="5" t="inlineStr">
        <is>
          <t>Bond</t>
        </is>
      </c>
      <c r="G5" s="5" t="inlineStr">
        <is>
          <t>Student</t>
        </is>
      </c>
      <c r="H5" s="5" t="inlineStr">
        <is>
          <t>Friends</t>
        </is>
      </c>
      <c r="I5" s="5" t="inlineStr">
        <is>
          <t>Rivals</t>
        </is>
      </c>
      <c r="J5" s="5" t="inlineStr">
        <is>
          <t>Check</t>
        </is>
      </c>
    </row>
    <row r="6" ht="18" customHeight="1">
      <c r="C6" s="6" t="inlineStr">
        <is>
          <t>HIROMI</t>
        </is>
      </c>
      <c r="D6" s="6" t="inlineStr">
        <is>
          <t>KOTORI</t>
        </is>
      </c>
      <c r="E6" s="7" t="n"/>
      <c r="G6" s="6" t="inlineStr">
        <is>
          <t>HIROMI</t>
        </is>
      </c>
      <c r="H6" s="8">
        <f>SUMPRODUCT((($C$6:$C$11=$G6)+($D$6:$D$11=$G6))*(($E$6:$E$11="Friend")+($E$6:$E$11="Friend &amp; Rival")))</f>
        <v/>
      </c>
      <c r="I6" s="8">
        <f>SUMPRODUCT((($C$6:$C$11=$G6)+($D$6:$D$11=$G6))*(($E$6:$E$11="Rival")+($E$6:$E$11="Friend &amp; Rival")))</f>
        <v/>
      </c>
      <c r="J6" s="9">
        <f>IF(COUNTA($E$6:$E$11)=0,"— fill in —",IF($H6=0,"Needs a Friend",IF($I6=0,"Needs a Rival","OK")))</f>
        <v/>
      </c>
    </row>
    <row r="7" ht="18" customHeight="1">
      <c r="C7" s="6" t="inlineStr">
        <is>
          <t>HIROMI</t>
        </is>
      </c>
      <c r="D7" s="6" t="inlineStr">
        <is>
          <t>UME</t>
        </is>
      </c>
      <c r="E7" s="7" t="n"/>
      <c r="G7" s="6" t="inlineStr">
        <is>
          <t>KOTORI</t>
        </is>
      </c>
      <c r="H7" s="8">
        <f>SUMPRODUCT((($C$6:$C$11=$G7)+($D$6:$D$11=$G7))*(($E$6:$E$11="Friend")+($E$6:$E$11="Friend &amp; Rival")))</f>
        <v/>
      </c>
      <c r="I7" s="8">
        <f>SUMPRODUCT((($C$6:$C$11=$G7)+($D$6:$D$11=$G7))*(($E$6:$E$11="Rival")+($E$6:$E$11="Friend &amp; Rival")))</f>
        <v/>
      </c>
      <c r="J7" s="9">
        <f>IF(COUNTA($E$6:$E$11)=0,"— fill in —",IF($H7=0,"Needs a Friend",IF($I7=0,"Needs a Rival","OK")))</f>
        <v/>
      </c>
    </row>
    <row r="8" ht="18" customHeight="1">
      <c r="C8" s="6" t="inlineStr">
        <is>
          <t>HIROMI</t>
        </is>
      </c>
      <c r="D8" s="6" t="inlineStr">
        <is>
          <t>YUMI</t>
        </is>
      </c>
      <c r="E8" s="7" t="n"/>
      <c r="G8" s="6" t="inlineStr">
        <is>
          <t>UME</t>
        </is>
      </c>
      <c r="H8" s="8">
        <f>SUMPRODUCT((($C$6:$C$11=$G8)+($D$6:$D$11=$G8))*(($E$6:$E$11="Friend")+($E$6:$E$11="Friend &amp; Rival")))</f>
        <v/>
      </c>
      <c r="I8" s="8">
        <f>SUMPRODUCT((($C$6:$C$11=$G8)+($D$6:$D$11=$G8))*(($E$6:$E$11="Rival")+($E$6:$E$11="Friend &amp; Rival")))</f>
        <v/>
      </c>
      <c r="J8" s="9">
        <f>IF(COUNTA($E$6:$E$11)=0,"— fill in —",IF($H8=0,"Needs a Friend",IF($I8=0,"Needs a Rival","OK")))</f>
        <v/>
      </c>
    </row>
    <row r="9" ht="18" customHeight="1">
      <c r="C9" s="6" t="inlineStr">
        <is>
          <t>KOTORI</t>
        </is>
      </c>
      <c r="D9" s="6" t="inlineStr">
        <is>
          <t>UME</t>
        </is>
      </c>
      <c r="E9" s="7" t="n"/>
      <c r="G9" s="6" t="inlineStr">
        <is>
          <t>YUMI</t>
        </is>
      </c>
      <c r="H9" s="8">
        <f>SUMPRODUCT((($C$6:$C$11=$G9)+($D$6:$D$11=$G9))*(($E$6:$E$11="Friend")+($E$6:$E$11="Friend &amp; Rival")))</f>
        <v/>
      </c>
      <c r="I9" s="8">
        <f>SUMPRODUCT((($C$6:$C$11=$G9)+($D$6:$D$11=$G9))*(($E$6:$E$11="Rival")+($E$6:$E$11="Friend &amp; Rival")))</f>
        <v/>
      </c>
      <c r="J9" s="9">
        <f>IF(COUNTA($E$6:$E$11)=0,"— fill in —",IF($H9=0,"Needs a Friend",IF($I9=0,"Needs a Rival","OK")))</f>
        <v/>
      </c>
    </row>
    <row r="10" ht="18" customHeight="1">
      <c r="C10" s="6" t="inlineStr">
        <is>
          <t>KOTORI</t>
        </is>
      </c>
      <c r="D10" s="6" t="inlineStr">
        <is>
          <t>YUMI</t>
        </is>
      </c>
      <c r="E10" s="7" t="n"/>
    </row>
    <row r="11" ht="18" customHeight="1">
      <c r="C11" s="6" t="inlineStr">
        <is>
          <t>UME</t>
        </is>
      </c>
      <c r="D11" s="6" t="inlineStr">
        <is>
          <t>YUMI</t>
        </is>
      </c>
      <c r="E11" s="7" t="n"/>
    </row>
    <row r="13">
      <c r="G13" s="3" t="inlineStr">
        <is>
          <t>Girls OK</t>
        </is>
      </c>
      <c r="H13" s="10">
        <f>COUNTIF($J$6:$J$9,"OK")&amp;" of 4"</f>
        <v/>
      </c>
    </row>
  </sheetData>
  <dataValidations count="1">
    <dataValidation sqref="E6:E11" showDropDown="0" showInputMessage="0" showErrorMessage="0" allowBlank="1" type="list">
      <formula1>"Friend,Rival,Friend &amp; Rival"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20" customWidth="1" min="5" max="5"/>
    <col width="3" customWidth="1" min="6" max="6"/>
    <col width="18" customWidth="1" min="7" max="7"/>
    <col width="11" customWidth="1" min="8" max="8"/>
    <col width="11" customWidth="1" min="9" max="9"/>
    <col width="30" customWidth="1" min="10" max="10"/>
  </cols>
  <sheetData>
    <row r="2">
      <c r="B2" s="1" t="inlineStr">
        <is>
          <t>3 Players — every lineup</t>
        </is>
      </c>
    </row>
    <row r="3">
      <c r="B3" s="2" t="inlineStr">
        <is>
          <t>All four ways to leave one girl out. Three pairs each, filled independently.</t>
        </is>
      </c>
    </row>
    <row r="5" ht="22" customHeight="1">
      <c r="B5" s="5" t="inlineStr">
        <is>
          <t>Lineup</t>
        </is>
      </c>
      <c r="C5" s="5" t="inlineStr">
        <is>
          <t>Girl A</t>
        </is>
      </c>
      <c r="D5" s="5" t="inlineStr">
        <is>
          <t>Girl B</t>
        </is>
      </c>
      <c r="E5" s="5" t="inlineStr">
        <is>
          <t>Bond</t>
        </is>
      </c>
      <c r="G5" s="5" t="inlineStr">
        <is>
          <t>Student</t>
        </is>
      </c>
      <c r="H5" s="5" t="inlineStr">
        <is>
          <t>Friends</t>
        </is>
      </c>
      <c r="I5" s="5" t="inlineStr">
        <is>
          <t>Rivals</t>
        </is>
      </c>
      <c r="J5" s="5" t="inlineStr">
        <is>
          <t>Check</t>
        </is>
      </c>
    </row>
    <row r="6" ht="18" customHeight="1">
      <c r="B6" s="11" t="inlineStr">
        <is>
          <t>A — no Yumi</t>
        </is>
      </c>
      <c r="C6" s="6" t="inlineStr">
        <is>
          <t>HIROMI</t>
        </is>
      </c>
      <c r="D6" s="6" t="inlineStr">
        <is>
          <t>KOTORI</t>
        </is>
      </c>
      <c r="E6" s="7" t="n"/>
      <c r="G6" s="6" t="inlineStr">
        <is>
          <t>HIROMI</t>
        </is>
      </c>
      <c r="H6" s="8">
        <f>SUMPRODUCT((($C$6:$C$8=$G6)+($D$6:$D$8=$G6))*(($E$6:$E$8="Friend")+($E$6:$E$8="Friend &amp; Rival")))</f>
        <v/>
      </c>
      <c r="I6" s="8">
        <f>SUMPRODUCT((($C$6:$C$8=$G6)+($D$6:$D$8=$G6))*(($E$6:$E$8="Rival")+($E$6:$E$8="Friend &amp; Rival")))</f>
        <v/>
      </c>
      <c r="J6" s="9">
        <f>IF(COUNTA($E$6:$E$8)=0,"— fill in —",IF($H6=0,"Needs a Friend",IF($I6=0,"Needs a Rival","OK")))</f>
        <v/>
      </c>
    </row>
    <row r="7" ht="18" customHeight="1">
      <c r="B7" s="12" t="n"/>
      <c r="C7" s="6" t="inlineStr">
        <is>
          <t>HIROMI</t>
        </is>
      </c>
      <c r="D7" s="6" t="inlineStr">
        <is>
          <t>UME</t>
        </is>
      </c>
      <c r="E7" s="7" t="n"/>
      <c r="G7" s="6" t="inlineStr">
        <is>
          <t>KOTORI</t>
        </is>
      </c>
      <c r="H7" s="8">
        <f>SUMPRODUCT((($C$6:$C$8=$G7)+($D$6:$D$8=$G7))*(($E$6:$E$8="Friend")+($E$6:$E$8="Friend &amp; Rival")))</f>
        <v/>
      </c>
      <c r="I7" s="8">
        <f>SUMPRODUCT((($C$6:$C$8=$G7)+($D$6:$D$8=$G7))*(($E$6:$E$8="Rival")+($E$6:$E$8="Friend &amp; Rival")))</f>
        <v/>
      </c>
      <c r="J7" s="9">
        <f>IF(COUNTA($E$6:$E$8)=0,"— fill in —",IF($H7=0,"Needs a Friend",IF($I7=0,"Needs a Rival","OK")))</f>
        <v/>
      </c>
    </row>
    <row r="8" ht="18" customHeight="1">
      <c r="B8" s="13" t="n"/>
      <c r="C8" s="6" t="inlineStr">
        <is>
          <t>KOTORI</t>
        </is>
      </c>
      <c r="D8" s="6" t="inlineStr">
        <is>
          <t>UME</t>
        </is>
      </c>
      <c r="E8" s="7" t="n"/>
      <c r="G8" s="6" t="inlineStr">
        <is>
          <t>UME</t>
        </is>
      </c>
      <c r="H8" s="8">
        <f>SUMPRODUCT((($C$6:$C$8=$G8)+($D$6:$D$8=$G8))*(($E$6:$E$8="Friend")+($E$6:$E$8="Friend &amp; Rival")))</f>
        <v/>
      </c>
      <c r="I8" s="8">
        <f>SUMPRODUCT((($C$6:$C$8=$G8)+($D$6:$D$8=$G8))*(($E$6:$E$8="Rival")+($E$6:$E$8="Friend &amp; Rival")))</f>
        <v/>
      </c>
      <c r="J8" s="9">
        <f>IF(COUNTA($E$6:$E$8)=0,"— fill in —",IF($H8=0,"Needs a Friend",IF($I8=0,"Needs a Rival","OK")))</f>
        <v/>
      </c>
    </row>
    <row r="9" ht="18" customHeight="1">
      <c r="B9" s="14" t="inlineStr">
        <is>
          <t>B — no Ume</t>
        </is>
      </c>
      <c r="C9" s="15" t="inlineStr">
        <is>
          <t>HIROMI</t>
        </is>
      </c>
      <c r="D9" s="15" t="inlineStr">
        <is>
          <t>KOTORI</t>
        </is>
      </c>
      <c r="E9" s="7" t="n"/>
      <c r="G9" s="15" t="inlineStr">
        <is>
          <t>HIROMI</t>
        </is>
      </c>
      <c r="H9" s="16">
        <f>SUMPRODUCT((($C$9:$C$11=$G9)+($D$9:$D$11=$G9))*(($E$9:$E$11="Friend")+($E$9:$E$11="Friend &amp; Rival")))</f>
        <v/>
      </c>
      <c r="I9" s="16">
        <f>SUMPRODUCT((($C$9:$C$11=$G9)+($D$9:$D$11=$G9))*(($E$9:$E$11="Rival")+($E$9:$E$11="Friend &amp; Rival")))</f>
        <v/>
      </c>
      <c r="J9" s="17">
        <f>IF(COUNTA($E$9:$E$11)=0,"— fill in —",IF($H9=0,"Needs a Friend",IF($I9=0,"Needs a Rival","OK")))</f>
        <v/>
      </c>
    </row>
    <row r="10" ht="18" customHeight="1">
      <c r="B10" s="12" t="n"/>
      <c r="C10" s="15" t="inlineStr">
        <is>
          <t>HIROMI</t>
        </is>
      </c>
      <c r="D10" s="15" t="inlineStr">
        <is>
          <t>YUMI</t>
        </is>
      </c>
      <c r="E10" s="7" t="n"/>
      <c r="G10" s="15" t="inlineStr">
        <is>
          <t>KOTORI</t>
        </is>
      </c>
      <c r="H10" s="16">
        <f>SUMPRODUCT((($C$9:$C$11=$G10)+($D$9:$D$11=$G10))*(($E$9:$E$11="Friend")+($E$9:$E$11="Friend &amp; Rival")))</f>
        <v/>
      </c>
      <c r="I10" s="16">
        <f>SUMPRODUCT((($C$9:$C$11=$G10)+($D$9:$D$11=$G10))*(($E$9:$E$11="Rival")+($E$9:$E$11="Friend &amp; Rival")))</f>
        <v/>
      </c>
      <c r="J10" s="17">
        <f>IF(COUNTA($E$9:$E$11)=0,"— fill in —",IF($H10=0,"Needs a Friend",IF($I10=0,"Needs a Rival","OK")))</f>
        <v/>
      </c>
    </row>
    <row r="11" ht="18" customHeight="1">
      <c r="B11" s="13" t="n"/>
      <c r="C11" s="15" t="inlineStr">
        <is>
          <t>KOTORI</t>
        </is>
      </c>
      <c r="D11" s="15" t="inlineStr">
        <is>
          <t>YUMI</t>
        </is>
      </c>
      <c r="E11" s="7" t="n"/>
      <c r="G11" s="15" t="inlineStr">
        <is>
          <t>YUMI</t>
        </is>
      </c>
      <c r="H11" s="16">
        <f>SUMPRODUCT((($C$9:$C$11=$G11)+($D$9:$D$11=$G11))*(($E$9:$E$11="Friend")+($E$9:$E$11="Friend &amp; Rival")))</f>
        <v/>
      </c>
      <c r="I11" s="16">
        <f>SUMPRODUCT((($C$9:$C$11=$G11)+($D$9:$D$11=$G11))*(($E$9:$E$11="Rival")+($E$9:$E$11="Friend &amp; Rival")))</f>
        <v/>
      </c>
      <c r="J11" s="17">
        <f>IF(COUNTA($E$9:$E$11)=0,"— fill in —",IF($H11=0,"Needs a Friend",IF($I11=0,"Needs a Rival","OK")))</f>
        <v/>
      </c>
    </row>
    <row r="12" ht="18" customHeight="1">
      <c r="B12" s="11" t="inlineStr">
        <is>
          <t>C — no Kotori</t>
        </is>
      </c>
      <c r="C12" s="6" t="inlineStr">
        <is>
          <t>HIROMI</t>
        </is>
      </c>
      <c r="D12" s="6" t="inlineStr">
        <is>
          <t>UME</t>
        </is>
      </c>
      <c r="E12" s="7" t="n"/>
      <c r="G12" s="6" t="inlineStr">
        <is>
          <t>HIROMI</t>
        </is>
      </c>
      <c r="H12" s="8">
        <f>SUMPRODUCT((($C$12:$C$14=$G12)+($D$12:$D$14=$G12))*(($E$12:$E$14="Friend")+($E$12:$E$14="Friend &amp; Rival")))</f>
        <v/>
      </c>
      <c r="I12" s="8">
        <f>SUMPRODUCT((($C$12:$C$14=$G12)+($D$12:$D$14=$G12))*(($E$12:$E$14="Rival")+($E$12:$E$14="Friend &amp; Rival")))</f>
        <v/>
      </c>
      <c r="J12" s="9">
        <f>IF(COUNTA($E$12:$E$14)=0,"— fill in —",IF($H12=0,"Needs a Friend",IF($I12=0,"Needs a Rival","OK")))</f>
        <v/>
      </c>
    </row>
    <row r="13" ht="18" customHeight="1">
      <c r="B13" s="12" t="n"/>
      <c r="C13" s="6" t="inlineStr">
        <is>
          <t>HIROMI</t>
        </is>
      </c>
      <c r="D13" s="6" t="inlineStr">
        <is>
          <t>YUMI</t>
        </is>
      </c>
      <c r="E13" s="7" t="n"/>
      <c r="G13" s="6" t="inlineStr">
        <is>
          <t>UME</t>
        </is>
      </c>
      <c r="H13" s="8">
        <f>SUMPRODUCT((($C$12:$C$14=$G13)+($D$12:$D$14=$G13))*(($E$12:$E$14="Friend")+($E$12:$E$14="Friend &amp; Rival")))</f>
        <v/>
      </c>
      <c r="I13" s="8">
        <f>SUMPRODUCT((($C$12:$C$14=$G13)+($D$12:$D$14=$G13))*(($E$12:$E$14="Rival")+($E$12:$E$14="Friend &amp; Rival")))</f>
        <v/>
      </c>
      <c r="J13" s="9">
        <f>IF(COUNTA($E$12:$E$14)=0,"— fill in —",IF($H13=0,"Needs a Friend",IF($I13=0,"Needs a Rival","OK")))</f>
        <v/>
      </c>
    </row>
    <row r="14" ht="18" customHeight="1">
      <c r="B14" s="13" t="n"/>
      <c r="C14" s="6" t="inlineStr">
        <is>
          <t>UME</t>
        </is>
      </c>
      <c r="D14" s="6" t="inlineStr">
        <is>
          <t>YUMI</t>
        </is>
      </c>
      <c r="E14" s="7" t="n"/>
      <c r="G14" s="6" t="inlineStr">
        <is>
          <t>YUMI</t>
        </is>
      </c>
      <c r="H14" s="8">
        <f>SUMPRODUCT((($C$12:$C$14=$G14)+($D$12:$D$14=$G14))*(($E$12:$E$14="Friend")+($E$12:$E$14="Friend &amp; Rival")))</f>
        <v/>
      </c>
      <c r="I14" s="8">
        <f>SUMPRODUCT((($C$12:$C$14=$G14)+($D$12:$D$14=$G14))*(($E$12:$E$14="Rival")+($E$12:$E$14="Friend &amp; Rival")))</f>
        <v/>
      </c>
      <c r="J14" s="9">
        <f>IF(COUNTA($E$12:$E$14)=0,"— fill in —",IF($H14=0,"Needs a Friend",IF($I14=0,"Needs a Rival","OK")))</f>
        <v/>
      </c>
    </row>
    <row r="15" ht="18" customHeight="1">
      <c r="B15" s="14" t="inlineStr">
        <is>
          <t>D — no Hiromi</t>
        </is>
      </c>
      <c r="C15" s="15" t="inlineStr">
        <is>
          <t>KOTORI</t>
        </is>
      </c>
      <c r="D15" s="15" t="inlineStr">
        <is>
          <t>UME</t>
        </is>
      </c>
      <c r="E15" s="7" t="n"/>
      <c r="G15" s="15" t="inlineStr">
        <is>
          <t>KOTORI</t>
        </is>
      </c>
      <c r="H15" s="16">
        <f>SUMPRODUCT((($C$15:$C$17=$G15)+($D$15:$D$17=$G15))*(($E$15:$E$17="Friend")+($E$15:$E$17="Friend &amp; Rival")))</f>
        <v/>
      </c>
      <c r="I15" s="16">
        <f>SUMPRODUCT((($C$15:$C$17=$G15)+($D$15:$D$17=$G15))*(($E$15:$E$17="Rival")+($E$15:$E$17="Friend &amp; Rival")))</f>
        <v/>
      </c>
      <c r="J15" s="17">
        <f>IF(COUNTA($E$15:$E$17)=0,"— fill in —",IF($H15=0,"Needs a Friend",IF($I15=0,"Needs a Rival","OK")))</f>
        <v/>
      </c>
    </row>
    <row r="16" ht="18" customHeight="1">
      <c r="B16" s="12" t="n"/>
      <c r="C16" s="15" t="inlineStr">
        <is>
          <t>KOTORI</t>
        </is>
      </c>
      <c r="D16" s="15" t="inlineStr">
        <is>
          <t>YUMI</t>
        </is>
      </c>
      <c r="E16" s="7" t="n"/>
      <c r="G16" s="15" t="inlineStr">
        <is>
          <t>UME</t>
        </is>
      </c>
      <c r="H16" s="16">
        <f>SUMPRODUCT((($C$15:$C$17=$G16)+($D$15:$D$17=$G16))*(($E$15:$E$17="Friend")+($E$15:$E$17="Friend &amp; Rival")))</f>
        <v/>
      </c>
      <c r="I16" s="16">
        <f>SUMPRODUCT((($C$15:$C$17=$G16)+($D$15:$D$17=$G16))*(($E$15:$E$17="Rival")+($E$15:$E$17="Friend &amp; Rival")))</f>
        <v/>
      </c>
      <c r="J16" s="17">
        <f>IF(COUNTA($E$15:$E$17)=0,"— fill in —",IF($H16=0,"Needs a Friend",IF($I16=0,"Needs a Rival","OK")))</f>
        <v/>
      </c>
    </row>
    <row r="17" ht="18" customHeight="1">
      <c r="B17" s="13" t="n"/>
      <c r="C17" s="15" t="inlineStr">
        <is>
          <t>UME</t>
        </is>
      </c>
      <c r="D17" s="15" t="inlineStr">
        <is>
          <t>YUMI</t>
        </is>
      </c>
      <c r="E17" s="7" t="n"/>
      <c r="G17" s="15" t="inlineStr">
        <is>
          <t>YUMI</t>
        </is>
      </c>
      <c r="H17" s="16">
        <f>SUMPRODUCT((($C$15:$C$17=$G17)+($D$15:$D$17=$G17))*(($E$15:$E$17="Friend")+($E$15:$E$17="Friend &amp; Rival")))</f>
        <v/>
      </c>
      <c r="I17" s="16">
        <f>SUMPRODUCT((($C$15:$C$17=$G17)+($D$15:$D$17=$G17))*(($E$15:$E$17="Rival")+($E$15:$E$17="Friend &amp; Rival")))</f>
        <v/>
      </c>
      <c r="J17" s="17">
        <f>IF(COUNTA($E$15:$E$17)=0,"— fill in —",IF($H17=0,"Needs a Friend",IF($I17=0,"Needs a Rival","OK")))</f>
        <v/>
      </c>
    </row>
    <row r="19">
      <c r="G19" s="3" t="inlineStr">
        <is>
          <t>Girls OK</t>
        </is>
      </c>
      <c r="H19" s="10">
        <f>COUNTIF($J$6:$J$17,"OK")&amp;" of 12"</f>
        <v/>
      </c>
      <c r="I19" s="18" t="inlineStr">
        <is>
          <t>(4 lineups x 3 girls)</t>
        </is>
      </c>
    </row>
  </sheetData>
  <mergeCells count="4">
    <mergeCell ref="B12:B14"/>
    <mergeCell ref="B9:B11"/>
    <mergeCell ref="B6:B8"/>
    <mergeCell ref="B15:B17"/>
  </mergeCells>
  <dataValidations count="4">
    <dataValidation sqref="E6:E8" showDropDown="0" showInputMessage="0" showErrorMessage="0" allowBlank="1" type="list">
      <formula1>"Friend,Rival,Friend &amp; Rival"</formula1>
    </dataValidation>
    <dataValidation sqref="E9:E11" showDropDown="0" showInputMessage="0" showErrorMessage="0" allowBlank="1" type="list">
      <formula1>"Friend,Rival,Friend &amp; Rival"</formula1>
    </dataValidation>
    <dataValidation sqref="E12:E14" showDropDown="0" showInputMessage="0" showErrorMessage="0" allowBlank="1" type="list">
      <formula1>"Friend,Rival,Friend &amp; Rival"</formula1>
    </dataValidation>
    <dataValidation sqref="E15:E17" showDropDown="0" showInputMessage="0" showErrorMessage="0" allowBlank="1" type="list">
      <formula1>"Friend,Rival,Friend &amp; Rival"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2026-09-10T14:28:46Z</dcterms:created>
  <dcterms:modified xsi:type="dcterms:W3CDTF">2026-09-10T14:28:46Z</dcterms:modified>
</cp:coreProperties>
</file>